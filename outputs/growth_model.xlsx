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egments" sheetId="2" state="visible" r:id="rId2"/>
    <sheet name="Channels" sheetId="3" state="visible" r:id="rId3"/>
    <sheet name="Win-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₹&quot;#,##0"/>
    <numFmt numFmtId="165" formatCode="&quot;₹&quot;#,##0.00"/>
    <numFmt numFmtId="166" formatCode="0.0%"/>
    <numFmt numFmtId="167" formatCode="0.0"/>
    <numFmt numFmtId="168" formatCode="0.00x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1F4FD8"/>
    </font>
    <font>
      <i val="1"/>
      <color rgb="006B728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26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6" fontId="2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3" fontId="2" fillId="0" borderId="0" pivotButton="0" quotePrefix="0" xfId="0"/>
    <xf numFmtId="168" fontId="0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70" customWidth="1" min="3" max="3"/>
  </cols>
  <sheetData>
    <row r="1">
      <c r="A1" s="1" t="inlineStr">
        <is>
          <t>Assumptions (blue cells are editable)</t>
        </is>
      </c>
    </row>
    <row r="3">
      <c r="A3" t="inlineStr">
        <is>
          <t>Average order value</t>
        </is>
      </c>
      <c r="B3" s="2" t="n">
        <v>450</v>
      </c>
      <c r="C3" s="3" t="inlineStr">
        <is>
          <t>Assumption. Instacart has no prices.</t>
        </is>
      </c>
    </row>
    <row r="4">
      <c r="A4" t="inlineStr">
        <is>
          <t>Contribution per order</t>
        </is>
      </c>
      <c r="B4" s="2" t="n">
        <v>30</v>
      </c>
      <c r="C4" s="3" t="inlineStr">
        <is>
          <t>Assumption. What one order earns after delivery and discounts.</t>
        </is>
      </c>
    </row>
    <row r="5">
      <c r="A5" t="inlineStr">
        <is>
          <t>Win-back incentive cost per redeemed order</t>
        </is>
      </c>
      <c r="B5" s="2" t="n">
        <v>75</v>
      </c>
      <c r="C5" s="3" t="inlineStr">
        <is>
          <t>Assumption. Coupon value paid only when used.</t>
        </is>
      </c>
    </row>
    <row r="6">
      <c r="A6" t="inlineStr">
        <is>
          <t>Message cost per user (push or WhatsApp)</t>
        </is>
      </c>
      <c r="B6" s="4" t="n">
        <v>0.5</v>
      </c>
      <c r="C6" s="3" t="inlineStr">
        <is>
          <t>Assumption.</t>
        </is>
      </c>
    </row>
    <row r="7">
      <c r="A7" t="inlineStr">
        <is>
          <t>LTV horizon (months)</t>
        </is>
      </c>
      <c r="B7" s="5" t="n">
        <v>12</v>
      </c>
      <c r="C7" s="3" t="inlineStr">
        <is>
          <t>Assumption.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2" customWidth="1" min="5" max="5"/>
    <col width="16" customWidth="1" min="6" max="6"/>
    <col width="18" customWidth="1" min="7" max="7"/>
    <col width="18" customWidth="1" min="8" max="8"/>
    <col width="18" customWidth="1" min="9" max="9"/>
    <col width="14" customWidth="1" min="10" max="10"/>
  </cols>
  <sheetData>
    <row r="1">
      <c r="A1" s="6" t="inlineStr">
        <is>
          <t>Segment value. Users, orders per 30 days, and lapse rate come from the data.</t>
        </is>
      </c>
    </row>
    <row r="3">
      <c r="A3" s="7" t="inlineStr">
        <is>
          <t>Segment</t>
        </is>
      </c>
      <c r="B3" s="7" t="inlineStr">
        <is>
          <t>Users</t>
        </is>
      </c>
      <c r="C3" s="7" t="inlineStr">
        <is>
          <t>Orders per 30 days</t>
        </is>
      </c>
      <c r="D3" s="7" t="inlineStr">
        <is>
          <t>Lapse rate (30+ day gap)</t>
        </is>
      </c>
      <c r="E3" s="7" t="inlineStr">
        <is>
          <t>Monthly churn</t>
        </is>
      </c>
      <c r="F3" s="7" t="inlineStr">
        <is>
          <t>Contribution per month</t>
        </is>
      </c>
      <c r="G3" s="7" t="inlineStr">
        <is>
          <t>LTV over horizon</t>
        </is>
      </c>
      <c r="H3" s="7" t="inlineStr">
        <is>
          <t>Max CAC for 3x LTV/CAC</t>
        </is>
      </c>
      <c r="I3" s="7" t="inlineStr">
        <is>
          <t>Payback at ₹300 CAC (months)</t>
        </is>
      </c>
      <c r="J3" s="7" t="inlineStr">
        <is>
          <t>Share of orders</t>
        </is>
      </c>
    </row>
    <row r="4">
      <c r="A4" t="inlineStr">
        <is>
          <t>1. Weekly regulars</t>
        </is>
      </c>
      <c r="B4" s="8" t="n">
        <v>52554</v>
      </c>
      <c r="C4" s="9" t="n">
        <v>4.074</v>
      </c>
      <c r="D4" s="10" t="n">
        <v>0.0376</v>
      </c>
      <c r="E4" s="11" t="n">
        <v>0.03</v>
      </c>
      <c r="F4" s="12">
        <f>C4*Inputs!$B$4</f>
        <v/>
      </c>
      <c r="G4" s="12">
        <f>F4*(1-(1-E4)^Inputs!$B$7)/E4</f>
        <v/>
      </c>
      <c r="H4" s="12">
        <f>G4/3</f>
        <v/>
      </c>
      <c r="I4" s="13">
        <f>300/F4</f>
        <v/>
      </c>
      <c r="J4" s="10" t="n">
        <v>0.4892</v>
      </c>
    </row>
    <row r="5">
      <c r="A5" t="inlineStr">
        <is>
          <t>2. Fortnightly</t>
        </is>
      </c>
      <c r="B5" s="8" t="n">
        <v>63222</v>
      </c>
      <c r="C5" s="9" t="n">
        <v>2.319</v>
      </c>
      <c r="D5" s="10" t="n">
        <v>0.1163</v>
      </c>
      <c r="E5" s="11" t="n">
        <v>0.06</v>
      </c>
      <c r="F5" s="12">
        <f>C5*Inputs!$B$4</f>
        <v/>
      </c>
      <c r="G5" s="12">
        <f>F5*(1-(1-E5)^Inputs!$B$7)/E5</f>
        <v/>
      </c>
      <c r="H5" s="12">
        <f>G5/3</f>
        <v/>
      </c>
      <c r="I5" s="13">
        <f>300/F5</f>
        <v/>
      </c>
      <c r="J5" s="10" t="n">
        <v>0.2936</v>
      </c>
    </row>
    <row r="6">
      <c r="A6" t="inlineStr">
        <is>
          <t>3. Monthly</t>
        </is>
      </c>
      <c r="B6" s="8" t="n">
        <v>61192</v>
      </c>
      <c r="C6" s="9" t="n">
        <v>1.507</v>
      </c>
      <c r="D6" s="10" t="n">
        <v>0.3022</v>
      </c>
      <c r="E6" s="11" t="n">
        <v>0.12</v>
      </c>
      <c r="F6" s="12">
        <f>C6*Inputs!$B$4</f>
        <v/>
      </c>
      <c r="G6" s="12">
        <f>F6*(1-(1-E6)^Inputs!$B$7)/E6</f>
        <v/>
      </c>
      <c r="H6" s="12">
        <f>G6/3</f>
        <v/>
      </c>
      <c r="I6" s="13">
        <f>300/F6</f>
        <v/>
      </c>
      <c r="J6" s="10" t="n">
        <v>0.1674</v>
      </c>
    </row>
    <row r="7">
      <c r="A7" t="inlineStr">
        <is>
          <t>4. Drifting (30+ day median gap)</t>
        </is>
      </c>
      <c r="B7" s="8" t="n">
        <v>29241</v>
      </c>
      <c r="C7" s="9" t="n">
        <v>1.149</v>
      </c>
      <c r="D7" s="10" t="n">
        <v>0.7382</v>
      </c>
      <c r="E7" s="11" t="n">
        <v>0.25</v>
      </c>
      <c r="F7" s="12">
        <f>C7*Inputs!$B$4</f>
        <v/>
      </c>
      <c r="G7" s="12">
        <f>F7*(1-(1-E7)^Inputs!$B$7)/E7</f>
        <v/>
      </c>
      <c r="H7" s="12">
        <f>G7/3</f>
        <v/>
      </c>
      <c r="I7" s="13">
        <f>300/F7</f>
        <v/>
      </c>
      <c r="J7" s="10" t="n">
        <v>0.0498</v>
      </c>
    </row>
    <row r="9">
      <c r="A9" s="3" t="inlineStr">
        <is>
          <t>Monthly churn is an assumption: Instacart only shows users up to their last order, so true churn cannot be measured. Replace it with real churn when you have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6" customWidth="1" min="7" max="7"/>
    <col width="16" customWidth="1" min="8" max="8"/>
    <col width="14" customWidth="1" min="9" max="9"/>
  </cols>
  <sheetData>
    <row r="1">
      <c r="A1" s="6" t="inlineStr">
        <is>
          <t>Acquisition channels. All figures are illustrative assumptions.</t>
        </is>
      </c>
    </row>
    <row r="3">
      <c r="A3" s="7" t="inlineStr">
        <is>
          <t>Channel</t>
        </is>
      </c>
      <c r="B3" s="7" t="inlineStr">
        <is>
          <t>Spend</t>
        </is>
      </c>
      <c r="C3" s="7" t="inlineStr">
        <is>
          <t>Installs</t>
        </is>
      </c>
      <c r="D3" s="7" t="inlineStr">
        <is>
          <t>First-order rate</t>
        </is>
      </c>
      <c r="E3" s="7" t="inlineStr">
        <is>
          <t>Weekly-regular share</t>
        </is>
      </c>
      <c r="F3" s="7" t="inlineStr">
        <is>
          <t>CAC (per first order)</t>
        </is>
      </c>
      <c r="G3" s="7" t="inlineStr">
        <is>
          <t>First-order ROAS</t>
        </is>
      </c>
      <c r="H3" s="7" t="inlineStr">
        <is>
          <t>12-month LTV/CAC</t>
        </is>
      </c>
      <c r="I3" s="7" t="inlineStr">
        <is>
          <t>Payback (months)</t>
        </is>
      </c>
    </row>
    <row r="4">
      <c r="A4" t="inlineStr">
        <is>
          <t>Meta app installs</t>
        </is>
      </c>
      <c r="B4" s="2" t="n">
        <v>500000</v>
      </c>
      <c r="C4" s="14" t="n">
        <v>25000</v>
      </c>
      <c r="D4" s="11" t="n">
        <v>0.18</v>
      </c>
      <c r="E4" s="11" t="n">
        <v>0.2</v>
      </c>
      <c r="F4" s="12">
        <f>B4/(C4*D4)</f>
        <v/>
      </c>
      <c r="G4" s="15">
        <f>Inputs!$B$3/F4</f>
        <v/>
      </c>
      <c r="H4" s="15">
        <f>(E4*Segments!$G$4+(1-E4)*AVERAGE(Segments!$G$5:$G$7))/F4</f>
        <v/>
      </c>
      <c r="I4" s="13">
        <f>F4/((E4*Segments!$G$4+(1-E4)*AVERAGE(Segments!$G$5:$G$7))/Inputs!$B$7)</f>
        <v/>
      </c>
    </row>
    <row r="5">
      <c r="A5" t="inlineStr">
        <is>
          <t>Google app campaigns</t>
        </is>
      </c>
      <c r="B5" s="2" t="n">
        <v>500000</v>
      </c>
      <c r="C5" s="14" t="n">
        <v>20000</v>
      </c>
      <c r="D5" s="11" t="n">
        <v>0.24</v>
      </c>
      <c r="E5" s="11" t="n">
        <v>0.25</v>
      </c>
      <c r="F5" s="12">
        <f>B5/(C5*D5)</f>
        <v/>
      </c>
      <c r="G5" s="15">
        <f>Inputs!$B$3/F5</f>
        <v/>
      </c>
      <c r="H5" s="15">
        <f>(E5*Segments!$G$4+(1-E5)*AVERAGE(Segments!$G$5:$G$7))/F5</f>
        <v/>
      </c>
      <c r="I5" s="13">
        <f>F5/((E5*Segments!$G$4+(1-E5)*AVERAGE(Segments!$G$5:$G$7))/Inputs!$B$7)</f>
        <v/>
      </c>
    </row>
    <row r="6">
      <c r="A6" t="inlineStr">
        <is>
          <t>Referral (₹100 each side)</t>
        </is>
      </c>
      <c r="B6" s="2" t="n">
        <v>300000</v>
      </c>
      <c r="C6" s="14" t="n">
        <v>3000</v>
      </c>
      <c r="D6" s="11" t="n">
        <v>0.6</v>
      </c>
      <c r="E6" s="11" t="n">
        <v>0.35</v>
      </c>
      <c r="F6" s="12">
        <f>B6/(C6*D6)</f>
        <v/>
      </c>
      <c r="G6" s="15">
        <f>Inputs!$B$3/F6</f>
        <v/>
      </c>
      <c r="H6" s="15">
        <f>(E6*Segments!$G$4+(1-E6)*AVERAGE(Segments!$G$5:$G$7))/F6</f>
        <v/>
      </c>
      <c r="I6" s="13">
        <f>F6/((E6*Segments!$G$4+(1-E6)*AVERAGE(Segments!$G$5:$G$7))/Inputs!$B$7)</f>
        <v/>
      </c>
    </row>
    <row r="7">
      <c r="A7" t="inlineStr">
        <is>
          <t>Influencer / content</t>
        </is>
      </c>
      <c r="B7" s="2" t="n">
        <v>200000</v>
      </c>
      <c r="C7" s="14" t="n">
        <v>6000</v>
      </c>
      <c r="D7" s="11" t="n">
        <v>0.15</v>
      </c>
      <c r="E7" s="11" t="n">
        <v>0.15</v>
      </c>
      <c r="F7" s="12">
        <f>B7/(C7*D7)</f>
        <v/>
      </c>
      <c r="G7" s="15">
        <f>Inputs!$B$3/F7</f>
        <v/>
      </c>
      <c r="H7" s="15">
        <f>(E7*Segments!$G$4+(1-E7)*AVERAGE(Segments!$G$5:$G$7))/F7</f>
        <v/>
      </c>
      <c r="I7" s="13">
        <f>F7/((E7*Segments!$G$4+(1-E7)*AVERAGE(Segments!$G$5:$G$7))/Inputs!$B$7)</f>
        <v/>
      </c>
    </row>
    <row r="10">
      <c r="A10" s="3" t="inlineStr">
        <is>
          <t>12-month LTV/CAC blends the weekly-regular LTV (by weekly-regular share) with the average LTV of the other three segments.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64" customWidth="1" min="3" max="3"/>
  </cols>
  <sheetData>
    <row r="1">
      <c r="A1" s="6" t="inlineStr">
        <is>
          <t>Post-lapse re-habit campaign for weekly and fortnightly users</t>
        </is>
      </c>
    </row>
    <row r="3">
      <c r="A3" t="inlineStr">
        <is>
          <t>Eligible users (from data)</t>
        </is>
      </c>
      <c r="B3" s="8" t="n">
        <v>59516</v>
      </c>
      <c r="C3" s="3" t="inlineStr">
        <is>
          <t>Weekly or fortnightly users who just came back after a 30+ day gap.</t>
        </is>
      </c>
    </row>
    <row r="4">
      <c r="A4" t="inlineStr">
        <is>
          <t>Baseline: next order within 30 days (from data)</t>
        </is>
      </c>
      <c r="B4" s="10" t="n">
        <v>0.8339</v>
      </c>
      <c r="C4" s="3" t="inlineStr">
        <is>
          <t>What happens with no campaign.</t>
        </is>
      </c>
    </row>
    <row r="5">
      <c r="A5" t="inlineStr">
        <is>
          <t>Lift from the test (absolute)</t>
        </is>
      </c>
      <c r="B5" s="11" t="n">
        <v>0.03</v>
      </c>
      <c r="C5" s="3" t="inlineStr">
        <is>
          <t>Use the A/B readout. 3 points is the simulated lift.</t>
        </is>
      </c>
    </row>
    <row r="6">
      <c r="A6" t="inlineStr">
        <is>
          <t>Extra orders per retained user over 3 months</t>
        </is>
      </c>
      <c r="B6" s="16" t="n">
        <v>6</v>
      </c>
      <c r="C6" s="3" t="inlineStr">
        <is>
          <t>Assumption, roughly 3 months of fortnightly ordering.</t>
        </is>
      </c>
    </row>
    <row r="7">
      <c r="A7" t="inlineStr">
        <is>
          <t>Incremental users retained</t>
        </is>
      </c>
      <c r="B7" s="8">
        <f>B3*B5</f>
        <v/>
      </c>
      <c r="C7" s="3" t="inlineStr"/>
    </row>
    <row r="8">
      <c r="A8" t="inlineStr">
        <is>
          <t>Incremental contribution</t>
        </is>
      </c>
      <c r="B8" s="12">
        <f>B7*B6*Inputs!$B$4</f>
        <v/>
      </c>
      <c r="C8" s="3" t="inlineStr"/>
    </row>
    <row r="9">
      <c r="A9" t="inlineStr">
        <is>
          <t>Message cost</t>
        </is>
      </c>
      <c r="B9" s="12">
        <f>B3*Inputs!$B$6</f>
        <v/>
      </c>
      <c r="C9" s="3" t="inlineStr"/>
    </row>
    <row r="10">
      <c r="A10" t="inlineStr">
        <is>
          <t>Incentive cost (all redeemers, incl. those who would return anyway)</t>
        </is>
      </c>
      <c r="B10" s="12">
        <f>B3*(B4+B5)*Inputs!$B$5</f>
        <v/>
      </c>
      <c r="C10" s="3" t="inlineStr">
        <is>
          <t>The real cost of coupons: most redeemers would have ordered anyway.</t>
        </is>
      </c>
    </row>
    <row r="11">
      <c r="A11" t="inlineStr">
        <is>
          <t>Net return</t>
        </is>
      </c>
      <c r="B11" s="12">
        <f>B8-B9-B10</f>
        <v/>
      </c>
      <c r="C11" s="3" t="inlineStr"/>
    </row>
    <row r="12">
      <c r="A12" t="inlineStr">
        <is>
          <t>Break-even incentive per redeemed order</t>
        </is>
      </c>
      <c r="B12" s="12">
        <f>(B8-B9)/(B3*(B4+B5))</f>
        <v/>
      </c>
      <c r="C12" s="3" t="inlineStr">
        <is>
          <t>If the coupon costs more than this, the campaign loses money.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2026-10-12T16:59:01Z</dcterms:created>
  <dcterms:modified xsi:type="dcterms:W3CDTF">2026-10-12T16:59:01Z</dcterms:modified>
</cp:coreProperties>
</file>